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Dataset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Chart Data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Instructions &amp; README" sheetId="5" state="visible" r:id="rId5"/>
  </sheets>
  <definedNames>
    <definedName name="_xlnm._FilterDatabase" localSheetId="0" hidden="1">'Production Dataset'!$A$3:$L$53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yyyy-mm-dd"/>
    <numFmt numFmtId="166" formatCode="DD-MMM-YYYY"/>
    <numFmt numFmtId="167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3864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1E8449"/>
      <sz val="10"/>
    </font>
    <font>
      <name val="Arial"/>
      <b val="1"/>
      <color rgb="008B6914"/>
      <sz val="10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2E75B6"/>
      <sz val="20"/>
    </font>
    <font>
      <name val="Arial"/>
      <i val="1"/>
      <color rgb="00888888"/>
      <sz val="8"/>
    </font>
    <font>
      <name val="Arial"/>
      <b val="1"/>
      <color rgb="001E8449"/>
      <sz val="20"/>
    </font>
    <font>
      <name val="Arial"/>
      <b val="1"/>
      <color rgb="00D68910"/>
      <sz val="20"/>
    </font>
    <font>
      <name val="Arial"/>
      <b val="1"/>
      <color rgb="007D3C98"/>
      <sz val="20"/>
    </font>
    <font>
      <name val="Arial"/>
      <b val="1"/>
      <color rgb="00C0392B"/>
      <sz val="20"/>
    </font>
    <font>
      <name val="Arial"/>
      <b val="1"/>
      <color rgb="001F3864"/>
      <sz val="12"/>
    </font>
    <font>
      <name val="Arial"/>
      <color rgb="001E8449"/>
      <sz val="10"/>
    </font>
    <font>
      <name val="Arial"/>
      <color rgb="008B6914"/>
      <sz val="10"/>
    </font>
    <font>
      <name val="Arial"/>
      <color rgb="00C0392B"/>
      <sz val="10"/>
    </font>
    <font>
      <name val="Arial"/>
      <b val="1"/>
      <color rgb="00555555"/>
      <sz val="10"/>
    </font>
    <font>
      <name val="Arial"/>
      <color rgb="00555555"/>
      <sz val="10"/>
    </font>
    <font>
      <name val="Arial"/>
      <b val="1"/>
      <color rgb="00FFFFFF"/>
      <sz val="18"/>
    </font>
    <font>
      <name val="Arial"/>
      <color rgb="00222222"/>
      <sz val="10"/>
    </font>
    <font>
      <name val="Arial"/>
      <b val="1"/>
      <color rgb="002E75B6"/>
      <sz val="12"/>
    </font>
    <font>
      <name val="Arial"/>
      <b val="1"/>
      <i val="1"/>
      <color rgb="00C0392B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F8F9FA"/>
      </patternFill>
    </fill>
    <fill>
      <patternFill patternType="solid">
        <fgColor rgb="001E8449"/>
      </patternFill>
    </fill>
    <fill>
      <patternFill patternType="solid">
        <fgColor rgb="00D68910"/>
      </patternFill>
    </fill>
    <fill>
      <patternFill patternType="solid">
        <fgColor rgb="007D3C9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9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9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9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9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10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7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22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23" fillId="0" borderId="0" pivotButton="0" quotePrefix="0" xfId="0"/>
    <xf numFmtId="0" fontId="24" fillId="3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Production Trend: Planned vs Produced</a:t>
            </a:r>
          </a:p>
        </rich>
      </tx>
    </title>
    <plotArea>
      <lineChart>
        <grouping val="standard"/>
        <ser>
          <idx val="0"/>
          <order val="0"/>
          <tx>
            <v>Qty Planned</v>
          </tx>
          <spPr>
            <a:ln xmlns:a="http://schemas.openxmlformats.org/drawingml/2006/main" w="2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Data'!$A$3:$A$6</f>
            </numRef>
          </cat>
          <val>
            <numRef>
              <f>'Chart Data'!$B$2:$B$6</f>
            </numRef>
          </val>
        </ser>
        <ser>
          <idx val="1"/>
          <order val="1"/>
          <tx>
            <v>Qty Produced</v>
          </tx>
          <spPr>
            <a:ln xmlns:a="http://schemas.openxmlformats.org/drawingml/2006/main" w="25000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Data'!$A$3:$A$6</f>
            </numRef>
          </cat>
          <val>
            <numRef>
              <f>'Chart Data'!$C$2:$C$6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(EA)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 Data'!N2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Data'!$M$3:$M$6</f>
            </numRef>
          </cat>
          <val>
            <numRef>
              <f>'Chart Data'!$N$3:$N$6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Center – Order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Data'!F2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'Chart Data'!$E$3:$E$8</f>
            </numRef>
          </cat>
          <val>
            <numRef>
              <f>'Chart Data'!$F$3:$F$8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 Center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by Product: Planned vs Produced</a:t>
            </a:r>
          </a:p>
        </rich>
      </tx>
    </title>
    <plotArea>
      <barChart>
        <barDir val="col"/>
        <grouping val="clustered"/>
        <ser>
          <idx val="0"/>
          <order val="0"/>
          <tx>
            <v>Planned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'Chart Data'!$I$3:$I$6</f>
            </numRef>
          </cat>
          <val>
            <numRef>
              <f>'Chart Data'!$J$2:$J$6</f>
            </numRef>
          </val>
        </ser>
        <ser>
          <idx val="1"/>
          <order val="1"/>
          <tx>
            <v>Produced</v>
          </tx>
          <spPr>
            <a:solidFill xmlns:a="http://schemas.openxmlformats.org/drawingml/2006/main">
              <a:srgbClr val="1E8449"/>
            </a:solidFill>
            <a:ln xmlns:a="http://schemas.openxmlformats.org/drawingml/2006/main">
              <a:prstDash val="solid"/>
            </a:ln>
          </spPr>
          <cat>
            <numRef>
              <f>'Chart Data'!$I$3:$I$6</f>
            </numRef>
          </cat>
          <val>
            <numRef>
              <f>'Chart Data'!$K$2:$K$6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(EA)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Center – Total Production Hours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Data'!G2</f>
            </strRef>
          </tx>
          <spPr>
            <a:solidFill xmlns:a="http://schemas.openxmlformats.org/drawingml/2006/main">
              <a:srgbClr val="7D3C98"/>
            </a:solidFill>
            <a:ln xmlns:a="http://schemas.openxmlformats.org/drawingml/2006/main">
              <a:prstDash val="solid"/>
            </a:ln>
          </spPr>
          <cat>
            <numRef>
              <f>'Chart Data'!$E$3:$E$8</f>
            </numRef>
          </cat>
          <val>
            <numRef>
              <f>'Chart Data'!$G$3:$G$8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 Center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21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39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4" customWidth="1" min="4" max="4"/>
    <col width="22" customWidth="1" min="5" max="5"/>
    <col width="22" customWidth="1" min="6" max="6"/>
    <col width="18" customWidth="1" min="7" max="7"/>
    <col width="14" customWidth="1" min="8" max="8"/>
    <col width="14" customWidth="1" min="9" max="9"/>
    <col width="14" customWidth="1" min="10" max="10"/>
    <col width="12" customWidth="1" min="11" max="11"/>
    <col width="11" customWidth="1" min="12" max="12"/>
  </cols>
  <sheetData>
    <row r="1" ht="30" customHeight="1">
      <c r="A1" s="1" t="inlineStr">
        <is>
          <t>SAP PP – Bicycle Manufacturing | Production Orders Dataset</t>
        </is>
      </c>
    </row>
    <row r="2" ht="18" customHeight="1">
      <c r="A2" s="2" t="inlineStr">
        <is>
          <t>Plan-to-Produce (P2P) Simulation | Academic Project 2024–25 | Records: 50</t>
        </is>
      </c>
    </row>
    <row r="3" ht="28" customHeight="1">
      <c r="A3" s="3" t="inlineStr">
        <is>
          <t>Order ID</t>
        </is>
      </c>
      <c r="B3" s="3" t="inlineStr">
        <is>
          <t>Product Name</t>
        </is>
      </c>
      <c r="C3" s="3" t="inlineStr">
        <is>
          <t>Qty Planned</t>
        </is>
      </c>
      <c r="D3" s="3" t="inlineStr">
        <is>
          <t>Qty Produced</t>
        </is>
      </c>
      <c r="E3" s="3" t="inlineStr">
        <is>
          <t>Raw Material Used (kg)</t>
        </is>
      </c>
      <c r="F3" s="3" t="inlineStr">
        <is>
          <t>Production Time (hrs)</t>
        </is>
      </c>
      <c r="G3" s="3" t="inlineStr">
        <is>
          <t>Work Center</t>
        </is>
      </c>
      <c r="H3" s="3" t="inlineStr">
        <is>
          <t>Status</t>
        </is>
      </c>
      <c r="I3" s="3" t="inlineStr">
        <is>
          <t>Date</t>
        </is>
      </c>
      <c r="J3" s="3" t="inlineStr">
        <is>
          <t>Efficiency (%)</t>
        </is>
      </c>
      <c r="K3" s="3" t="inlineStr">
        <is>
          <t>Month</t>
        </is>
      </c>
      <c r="L3" s="3" t="inlineStr">
        <is>
          <t>Scrap Qty</t>
        </is>
      </c>
    </row>
    <row r="4">
      <c r="A4" s="4" t="inlineStr">
        <is>
          <t>PO-2025-001</t>
        </is>
      </c>
      <c r="B4" s="4" t="inlineStr">
        <is>
          <t>Mountain Bicycle 26"</t>
        </is>
      </c>
      <c r="C4" s="5" t="n">
        <v>11</v>
      </c>
      <c r="D4" s="5" t="n">
        <v>0</v>
      </c>
      <c r="E4" s="6" t="n">
        <v>0</v>
      </c>
      <c r="F4" s="6" t="n">
        <v>0</v>
      </c>
      <c r="G4" s="4" t="inlineStr">
        <is>
          <t>WC-QC</t>
        </is>
      </c>
      <c r="H4" s="7" t="inlineStr">
        <is>
          <t>Cancelled</t>
        </is>
      </c>
      <c r="I4" s="8" t="n">
        <v>45671</v>
      </c>
      <c r="J4" s="9" t="n">
        <v>0</v>
      </c>
      <c r="K4" s="4" t="inlineStr">
        <is>
          <t>Jan-2025</t>
        </is>
      </c>
      <c r="L4" s="5" t="n">
        <v>11</v>
      </c>
    </row>
    <row r="5">
      <c r="A5" s="10" t="inlineStr">
        <is>
          <t>PO-2025-002</t>
        </is>
      </c>
      <c r="B5" s="10" t="inlineStr">
        <is>
          <t>Mountain Bicycle 26"</t>
        </is>
      </c>
      <c r="C5" s="11" t="n">
        <v>47</v>
      </c>
      <c r="D5" s="11" t="n">
        <v>41</v>
      </c>
      <c r="E5" s="12" t="n">
        <v>336</v>
      </c>
      <c r="F5" s="12" t="n">
        <v>362.8</v>
      </c>
      <c r="G5" s="10" t="inlineStr">
        <is>
          <t>WC-FINAL-ASM</t>
        </is>
      </c>
      <c r="H5" s="13" t="inlineStr">
        <is>
          <t>Completed</t>
        </is>
      </c>
      <c r="I5" s="14" t="n">
        <v>45661</v>
      </c>
      <c r="J5" s="15" t="n">
        <v>0.872</v>
      </c>
      <c r="K5" s="10" t="inlineStr">
        <is>
          <t>Jan-2025</t>
        </is>
      </c>
      <c r="L5" s="11" t="n">
        <v>6</v>
      </c>
    </row>
    <row r="6">
      <c r="A6" s="4" t="inlineStr">
        <is>
          <t>PO-2025-003</t>
        </is>
      </c>
      <c r="B6" s="4" t="inlineStr">
        <is>
          <t>Road Bicycle 28"</t>
        </is>
      </c>
      <c r="C6" s="5" t="n">
        <v>55</v>
      </c>
      <c r="D6" s="5" t="n">
        <v>0</v>
      </c>
      <c r="E6" s="6" t="n">
        <v>0</v>
      </c>
      <c r="F6" s="6" t="n">
        <v>0</v>
      </c>
      <c r="G6" s="4" t="inlineStr">
        <is>
          <t>WC-ASSEMBLY</t>
        </is>
      </c>
      <c r="H6" s="16" t="inlineStr">
        <is>
          <t>Pending</t>
        </is>
      </c>
      <c r="I6" s="8" t="n">
        <v>45733</v>
      </c>
      <c r="J6" s="9" t="n">
        <v>0</v>
      </c>
      <c r="K6" s="4" t="inlineStr">
        <is>
          <t>Mar-2025</t>
        </is>
      </c>
      <c r="L6" s="5" t="n">
        <v>55</v>
      </c>
    </row>
    <row r="7">
      <c r="A7" s="10" t="inlineStr">
        <is>
          <t>PO-2025-004</t>
        </is>
      </c>
      <c r="B7" s="10" t="inlineStr">
        <is>
          <t>Kids Bicycle 20"</t>
        </is>
      </c>
      <c r="C7" s="11" t="n">
        <v>10</v>
      </c>
      <c r="D7" s="11" t="n">
        <v>0</v>
      </c>
      <c r="E7" s="12" t="n">
        <v>0</v>
      </c>
      <c r="F7" s="12" t="n">
        <v>0</v>
      </c>
      <c r="G7" s="10" t="inlineStr">
        <is>
          <t>WC-PAINTING</t>
        </is>
      </c>
      <c r="H7" s="7" t="inlineStr">
        <is>
          <t>Cancelled</t>
        </is>
      </c>
      <c r="I7" s="14" t="n">
        <v>45693</v>
      </c>
      <c r="J7" s="15" t="n">
        <v>0</v>
      </c>
      <c r="K7" s="10" t="inlineStr">
        <is>
          <t>Feb-2025</t>
        </is>
      </c>
      <c r="L7" s="11" t="n">
        <v>10</v>
      </c>
    </row>
    <row r="8">
      <c r="A8" s="4" t="inlineStr">
        <is>
          <t>PO-2025-005</t>
        </is>
      </c>
      <c r="B8" s="4" t="inlineStr">
        <is>
          <t>Road Bicycle 28"</t>
        </is>
      </c>
      <c r="C8" s="5" t="n">
        <v>23</v>
      </c>
      <c r="D8" s="5" t="n">
        <v>0</v>
      </c>
      <c r="E8" s="6" t="n">
        <v>0</v>
      </c>
      <c r="F8" s="6" t="n">
        <v>0</v>
      </c>
      <c r="G8" s="4" t="inlineStr">
        <is>
          <t>WC-FABRICATION</t>
        </is>
      </c>
      <c r="H8" s="7" t="inlineStr">
        <is>
          <t>Cancelled</t>
        </is>
      </c>
      <c r="I8" s="8" t="n">
        <v>45703</v>
      </c>
      <c r="J8" s="9" t="n">
        <v>0</v>
      </c>
      <c r="K8" s="4" t="inlineStr">
        <is>
          <t>Feb-2025</t>
        </is>
      </c>
      <c r="L8" s="5" t="n">
        <v>23</v>
      </c>
    </row>
    <row r="9">
      <c r="A9" s="10" t="inlineStr">
        <is>
          <t>PO-2025-006</t>
        </is>
      </c>
      <c r="B9" s="10" t="inlineStr">
        <is>
          <t>Kids Bicycle 20"</t>
        </is>
      </c>
      <c r="C9" s="11" t="n">
        <v>48</v>
      </c>
      <c r="D9" s="11" t="n">
        <v>46</v>
      </c>
      <c r="E9" s="12" t="n">
        <v>243.7</v>
      </c>
      <c r="F9" s="12" t="n">
        <v>453.5</v>
      </c>
      <c r="G9" s="10" t="inlineStr">
        <is>
          <t>WC-ASSEMBLY</t>
        </is>
      </c>
      <c r="H9" s="13" t="inlineStr">
        <is>
          <t>Completed</t>
        </is>
      </c>
      <c r="I9" s="14" t="n">
        <v>45668</v>
      </c>
      <c r="J9" s="15" t="n">
        <v>0.958</v>
      </c>
      <c r="K9" s="10" t="inlineStr">
        <is>
          <t>Jan-2025</t>
        </is>
      </c>
      <c r="L9" s="11" t="n">
        <v>2</v>
      </c>
    </row>
    <row r="10">
      <c r="A10" s="4" t="inlineStr">
        <is>
          <t>PO-2025-007</t>
        </is>
      </c>
      <c r="B10" s="4" t="inlineStr">
        <is>
          <t>Kids Bicycle 20"</t>
        </is>
      </c>
      <c r="C10" s="5" t="n">
        <v>50</v>
      </c>
      <c r="D10" s="5" t="n">
        <v>0</v>
      </c>
      <c r="E10" s="6" t="n">
        <v>0</v>
      </c>
      <c r="F10" s="6" t="n">
        <v>0</v>
      </c>
      <c r="G10" s="4" t="inlineStr">
        <is>
          <t>WC-WELDING</t>
        </is>
      </c>
      <c r="H10" s="16" t="inlineStr">
        <is>
          <t>Pending</t>
        </is>
      </c>
      <c r="I10" s="8" t="n">
        <v>45748</v>
      </c>
      <c r="J10" s="9" t="n">
        <v>0</v>
      </c>
      <c r="K10" s="4" t="inlineStr">
        <is>
          <t>Apr-2025</t>
        </is>
      </c>
      <c r="L10" s="5" t="n">
        <v>50</v>
      </c>
    </row>
    <row r="11">
      <c r="A11" s="10" t="inlineStr">
        <is>
          <t>PO-2025-008</t>
        </is>
      </c>
      <c r="B11" s="10" t="inlineStr">
        <is>
          <t>Mountain Bicycle 26"</t>
        </is>
      </c>
      <c r="C11" s="11" t="n">
        <v>12</v>
      </c>
      <c r="D11" s="11" t="n">
        <v>0</v>
      </c>
      <c r="E11" s="12" t="n">
        <v>0</v>
      </c>
      <c r="F11" s="12" t="n">
        <v>0</v>
      </c>
      <c r="G11" s="10" t="inlineStr">
        <is>
          <t>WC-FABRICATION</t>
        </is>
      </c>
      <c r="H11" s="16" t="inlineStr">
        <is>
          <t>Pending</t>
        </is>
      </c>
      <c r="I11" s="14" t="n">
        <v>45767</v>
      </c>
      <c r="J11" s="15" t="n">
        <v>0</v>
      </c>
      <c r="K11" s="10" t="inlineStr">
        <is>
          <t>Apr-2025</t>
        </is>
      </c>
      <c r="L11" s="11" t="n">
        <v>12</v>
      </c>
    </row>
    <row r="12">
      <c r="A12" s="4" t="inlineStr">
        <is>
          <t>PO-2025-009</t>
        </is>
      </c>
      <c r="B12" s="4" t="inlineStr">
        <is>
          <t>Road Bicycle 28"</t>
        </is>
      </c>
      <c r="C12" s="5" t="n">
        <v>16</v>
      </c>
      <c r="D12" s="5" t="n">
        <v>14</v>
      </c>
      <c r="E12" s="6" t="n">
        <v>134.6</v>
      </c>
      <c r="F12" s="6" t="n">
        <v>130</v>
      </c>
      <c r="G12" s="4" t="inlineStr">
        <is>
          <t>WC-PAINTING</t>
        </is>
      </c>
      <c r="H12" s="13" t="inlineStr">
        <is>
          <t>Completed</t>
        </is>
      </c>
      <c r="I12" s="8" t="n">
        <v>45703</v>
      </c>
      <c r="J12" s="9" t="n">
        <v>0.875</v>
      </c>
      <c r="K12" s="4" t="inlineStr">
        <is>
          <t>Feb-2025</t>
        </is>
      </c>
      <c r="L12" s="5" t="n">
        <v>2</v>
      </c>
    </row>
    <row r="13">
      <c r="A13" s="10" t="inlineStr">
        <is>
          <t>PO-2025-010</t>
        </is>
      </c>
      <c r="B13" s="10" t="inlineStr">
        <is>
          <t>Road Bicycle 28"</t>
        </is>
      </c>
      <c r="C13" s="11" t="n">
        <v>52</v>
      </c>
      <c r="D13" s="11" t="n">
        <v>50</v>
      </c>
      <c r="E13" s="12" t="n">
        <v>484.2</v>
      </c>
      <c r="F13" s="12" t="n">
        <v>415.6</v>
      </c>
      <c r="G13" s="10" t="inlineStr">
        <is>
          <t>WC-QC</t>
        </is>
      </c>
      <c r="H13" s="13" t="inlineStr">
        <is>
          <t>Completed</t>
        </is>
      </c>
      <c r="I13" s="14" t="n">
        <v>45679</v>
      </c>
      <c r="J13" s="15" t="n">
        <v>0.9620000000000001</v>
      </c>
      <c r="K13" s="10" t="inlineStr">
        <is>
          <t>Jan-2025</t>
        </is>
      </c>
      <c r="L13" s="11" t="n">
        <v>2</v>
      </c>
    </row>
    <row r="14">
      <c r="A14" s="4" t="inlineStr">
        <is>
          <t>PO-2025-011</t>
        </is>
      </c>
      <c r="B14" s="4" t="inlineStr">
        <is>
          <t>Road Bicycle 28"</t>
        </is>
      </c>
      <c r="C14" s="5" t="n">
        <v>20</v>
      </c>
      <c r="D14" s="5" t="n">
        <v>9</v>
      </c>
      <c r="E14" s="6" t="n">
        <v>90.90000000000001</v>
      </c>
      <c r="F14" s="6" t="n">
        <v>91.8</v>
      </c>
      <c r="G14" s="4" t="inlineStr">
        <is>
          <t>WC-FINAL-ASM</t>
        </is>
      </c>
      <c r="H14" s="17" t="inlineStr">
        <is>
          <t>In Progress</t>
        </is>
      </c>
      <c r="I14" s="8" t="n">
        <v>45686</v>
      </c>
      <c r="J14" s="9" t="n">
        <v>0.45</v>
      </c>
      <c r="K14" s="4" t="inlineStr">
        <is>
          <t>Jan-2025</t>
        </is>
      </c>
      <c r="L14" s="5" t="n">
        <v>11</v>
      </c>
    </row>
    <row r="15">
      <c r="A15" s="10" t="inlineStr">
        <is>
          <t>PO-2025-012</t>
        </is>
      </c>
      <c r="B15" s="10" t="inlineStr">
        <is>
          <t>Kids Bicycle 20"</t>
        </is>
      </c>
      <c r="C15" s="11" t="n">
        <v>59</v>
      </c>
      <c r="D15" s="11" t="n">
        <v>0</v>
      </c>
      <c r="E15" s="12" t="n">
        <v>0</v>
      </c>
      <c r="F15" s="12" t="n">
        <v>0</v>
      </c>
      <c r="G15" s="10" t="inlineStr">
        <is>
          <t>WC-PAINTING</t>
        </is>
      </c>
      <c r="H15" s="7" t="inlineStr">
        <is>
          <t>Cancelled</t>
        </is>
      </c>
      <c r="I15" s="14" t="n">
        <v>45709</v>
      </c>
      <c r="J15" s="15" t="n">
        <v>0</v>
      </c>
      <c r="K15" s="10" t="inlineStr">
        <is>
          <t>Feb-2025</t>
        </is>
      </c>
      <c r="L15" s="11" t="n">
        <v>59</v>
      </c>
    </row>
    <row r="16">
      <c r="A16" s="4" t="inlineStr">
        <is>
          <t>PO-2025-013</t>
        </is>
      </c>
      <c r="B16" s="4" t="inlineStr">
        <is>
          <t>Kids Bicycle 20"</t>
        </is>
      </c>
      <c r="C16" s="5" t="n">
        <v>14</v>
      </c>
      <c r="D16" s="5" t="n">
        <v>13</v>
      </c>
      <c r="E16" s="6" t="n">
        <v>67.3</v>
      </c>
      <c r="F16" s="6" t="n">
        <v>136</v>
      </c>
      <c r="G16" s="4" t="inlineStr">
        <is>
          <t>WC-WELDING</t>
        </is>
      </c>
      <c r="H16" s="13" t="inlineStr">
        <is>
          <t>Completed</t>
        </is>
      </c>
      <c r="I16" s="8" t="n">
        <v>45741</v>
      </c>
      <c r="J16" s="9" t="n">
        <v>0.929</v>
      </c>
      <c r="K16" s="4" t="inlineStr">
        <is>
          <t>Mar-2025</t>
        </is>
      </c>
      <c r="L16" s="5" t="n">
        <v>1</v>
      </c>
    </row>
    <row r="17">
      <c r="A17" s="10" t="inlineStr">
        <is>
          <t>PO-2025-014</t>
        </is>
      </c>
      <c r="B17" s="10" t="inlineStr">
        <is>
          <t>Hybrid Bicycle 27.5"</t>
        </is>
      </c>
      <c r="C17" s="11" t="n">
        <v>35</v>
      </c>
      <c r="D17" s="11" t="n">
        <v>0</v>
      </c>
      <c r="E17" s="12" t="n">
        <v>0</v>
      </c>
      <c r="F17" s="12" t="n">
        <v>0</v>
      </c>
      <c r="G17" s="10" t="inlineStr">
        <is>
          <t>WC-WELDING</t>
        </is>
      </c>
      <c r="H17" s="16" t="inlineStr">
        <is>
          <t>Pending</t>
        </is>
      </c>
      <c r="I17" s="14" t="n">
        <v>45753</v>
      </c>
      <c r="J17" s="15" t="n">
        <v>0</v>
      </c>
      <c r="K17" s="10" t="inlineStr">
        <is>
          <t>Apr-2025</t>
        </is>
      </c>
      <c r="L17" s="11" t="n">
        <v>35</v>
      </c>
    </row>
    <row r="18">
      <c r="A18" s="4" t="inlineStr">
        <is>
          <t>PO-2025-015</t>
        </is>
      </c>
      <c r="B18" s="4" t="inlineStr">
        <is>
          <t>Kids Bicycle 20"</t>
        </is>
      </c>
      <c r="C18" s="5" t="n">
        <v>57</v>
      </c>
      <c r="D18" s="5" t="n">
        <v>28</v>
      </c>
      <c r="E18" s="6" t="n">
        <v>145.3</v>
      </c>
      <c r="F18" s="6" t="n">
        <v>259.8</v>
      </c>
      <c r="G18" s="4" t="inlineStr">
        <is>
          <t>WC-WELDING</t>
        </is>
      </c>
      <c r="H18" s="17" t="inlineStr">
        <is>
          <t>In Progress</t>
        </is>
      </c>
      <c r="I18" s="8" t="n">
        <v>45723</v>
      </c>
      <c r="J18" s="9" t="n">
        <v>0.491</v>
      </c>
      <c r="K18" s="4" t="inlineStr">
        <is>
          <t>Mar-2025</t>
        </is>
      </c>
      <c r="L18" s="5" t="n">
        <v>29</v>
      </c>
    </row>
    <row r="19">
      <c r="A19" s="10" t="inlineStr">
        <is>
          <t>PO-2025-016</t>
        </is>
      </c>
      <c r="B19" s="10" t="inlineStr">
        <is>
          <t>Hybrid Bicycle 27.5"</t>
        </is>
      </c>
      <c r="C19" s="11" t="n">
        <v>15</v>
      </c>
      <c r="D19" s="11" t="n">
        <v>0</v>
      </c>
      <c r="E19" s="12" t="n">
        <v>0</v>
      </c>
      <c r="F19" s="12" t="n">
        <v>0</v>
      </c>
      <c r="G19" s="10" t="inlineStr">
        <is>
          <t>WC-QC</t>
        </is>
      </c>
      <c r="H19" s="7" t="inlineStr">
        <is>
          <t>Cancelled</t>
        </is>
      </c>
      <c r="I19" s="14" t="n">
        <v>45678</v>
      </c>
      <c r="J19" s="15" t="n">
        <v>0</v>
      </c>
      <c r="K19" s="10" t="inlineStr">
        <is>
          <t>Jan-2025</t>
        </is>
      </c>
      <c r="L19" s="11" t="n">
        <v>15</v>
      </c>
    </row>
    <row r="20">
      <c r="A20" s="4" t="inlineStr">
        <is>
          <t>PO-2025-017</t>
        </is>
      </c>
      <c r="B20" s="4" t="inlineStr">
        <is>
          <t>Hybrid Bicycle 27.5"</t>
        </is>
      </c>
      <c r="C20" s="5" t="n">
        <v>48</v>
      </c>
      <c r="D20" s="5" t="n">
        <v>44</v>
      </c>
      <c r="E20" s="6" t="n">
        <v>365.9</v>
      </c>
      <c r="F20" s="6" t="n">
        <v>423.8</v>
      </c>
      <c r="G20" s="4" t="inlineStr">
        <is>
          <t>WC-PAINTING</t>
        </is>
      </c>
      <c r="H20" s="13" t="inlineStr">
        <is>
          <t>Completed</t>
        </is>
      </c>
      <c r="I20" s="8" t="n">
        <v>45728</v>
      </c>
      <c r="J20" s="9" t="n">
        <v>0.917</v>
      </c>
      <c r="K20" s="4" t="inlineStr">
        <is>
          <t>Mar-2025</t>
        </is>
      </c>
      <c r="L20" s="5" t="n">
        <v>4</v>
      </c>
    </row>
    <row r="21">
      <c r="A21" s="10" t="inlineStr">
        <is>
          <t>PO-2025-018</t>
        </is>
      </c>
      <c r="B21" s="10" t="inlineStr">
        <is>
          <t>Mountain Bicycle 26"</t>
        </is>
      </c>
      <c r="C21" s="11" t="n">
        <v>53</v>
      </c>
      <c r="D21" s="11" t="n">
        <v>0</v>
      </c>
      <c r="E21" s="12" t="n">
        <v>0</v>
      </c>
      <c r="F21" s="12" t="n">
        <v>0</v>
      </c>
      <c r="G21" s="10" t="inlineStr">
        <is>
          <t>WC-PAINTING</t>
        </is>
      </c>
      <c r="H21" s="7" t="inlineStr">
        <is>
          <t>Cancelled</t>
        </is>
      </c>
      <c r="I21" s="14" t="n">
        <v>45756</v>
      </c>
      <c r="J21" s="15" t="n">
        <v>0</v>
      </c>
      <c r="K21" s="10" t="inlineStr">
        <is>
          <t>Apr-2025</t>
        </is>
      </c>
      <c r="L21" s="11" t="n">
        <v>53</v>
      </c>
    </row>
    <row r="22">
      <c r="A22" s="4" t="inlineStr">
        <is>
          <t>PO-2025-019</t>
        </is>
      </c>
      <c r="B22" s="4" t="inlineStr">
        <is>
          <t>Kids Bicycle 20"</t>
        </is>
      </c>
      <c r="C22" s="5" t="n">
        <v>17</v>
      </c>
      <c r="D22" s="5" t="n">
        <v>15</v>
      </c>
      <c r="E22" s="6" t="n">
        <v>76.40000000000001</v>
      </c>
      <c r="F22" s="6" t="n">
        <v>168.7</v>
      </c>
      <c r="G22" s="4" t="inlineStr">
        <is>
          <t>WC-QC</t>
        </is>
      </c>
      <c r="H22" s="13" t="inlineStr">
        <is>
          <t>Completed</t>
        </is>
      </c>
      <c r="I22" s="8" t="n">
        <v>45691</v>
      </c>
      <c r="J22" s="9" t="n">
        <v>0.882</v>
      </c>
      <c r="K22" s="4" t="inlineStr">
        <is>
          <t>Feb-2025</t>
        </is>
      </c>
      <c r="L22" s="5" t="n">
        <v>2</v>
      </c>
    </row>
    <row r="23">
      <c r="A23" s="10" t="inlineStr">
        <is>
          <t>PO-2025-020</t>
        </is>
      </c>
      <c r="B23" s="10" t="inlineStr">
        <is>
          <t>Road Bicycle 28"</t>
        </is>
      </c>
      <c r="C23" s="11" t="n">
        <v>42</v>
      </c>
      <c r="D23" s="11" t="n">
        <v>41</v>
      </c>
      <c r="E23" s="12" t="n">
        <v>375.2</v>
      </c>
      <c r="F23" s="12" t="n">
        <v>418.2</v>
      </c>
      <c r="G23" s="10" t="inlineStr">
        <is>
          <t>WC-FINAL-ASM</t>
        </is>
      </c>
      <c r="H23" s="13" t="inlineStr">
        <is>
          <t>Completed</t>
        </is>
      </c>
      <c r="I23" s="14" t="n">
        <v>45683</v>
      </c>
      <c r="J23" s="15" t="n">
        <v>0.976</v>
      </c>
      <c r="K23" s="10" t="inlineStr">
        <is>
          <t>Jan-2025</t>
        </is>
      </c>
      <c r="L23" s="11" t="n">
        <v>1</v>
      </c>
    </row>
    <row r="24">
      <c r="A24" s="4" t="inlineStr">
        <is>
          <t>PO-2025-021</t>
        </is>
      </c>
      <c r="B24" s="4" t="inlineStr">
        <is>
          <t>Road Bicycle 28"</t>
        </is>
      </c>
      <c r="C24" s="5" t="n">
        <v>33</v>
      </c>
      <c r="D24" s="5" t="n">
        <v>0</v>
      </c>
      <c r="E24" s="6" t="n">
        <v>0</v>
      </c>
      <c r="F24" s="6" t="n">
        <v>0</v>
      </c>
      <c r="G24" s="4" t="inlineStr">
        <is>
          <t>WC-FINAL-ASM</t>
        </is>
      </c>
      <c r="H24" s="7" t="inlineStr">
        <is>
          <t>Cancelled</t>
        </is>
      </c>
      <c r="I24" s="8" t="n">
        <v>45775</v>
      </c>
      <c r="J24" s="9" t="n">
        <v>0</v>
      </c>
      <c r="K24" s="4" t="inlineStr">
        <is>
          <t>Apr-2025</t>
        </is>
      </c>
      <c r="L24" s="5" t="n">
        <v>33</v>
      </c>
    </row>
    <row r="25">
      <c r="A25" s="10" t="inlineStr">
        <is>
          <t>PO-2025-022</t>
        </is>
      </c>
      <c r="B25" s="10" t="inlineStr">
        <is>
          <t>Mountain Bicycle 26"</t>
        </is>
      </c>
      <c r="C25" s="11" t="n">
        <v>48</v>
      </c>
      <c r="D25" s="11" t="n">
        <v>45</v>
      </c>
      <c r="E25" s="12" t="n">
        <v>369.8</v>
      </c>
      <c r="F25" s="12" t="n">
        <v>417.7</v>
      </c>
      <c r="G25" s="10" t="inlineStr">
        <is>
          <t>WC-PAINTING</t>
        </is>
      </c>
      <c r="H25" s="13" t="inlineStr">
        <is>
          <t>Completed</t>
        </is>
      </c>
      <c r="I25" s="14" t="n">
        <v>45688</v>
      </c>
      <c r="J25" s="15" t="n">
        <v>0.9379999999999999</v>
      </c>
      <c r="K25" s="10" t="inlineStr">
        <is>
          <t>Jan-2025</t>
        </is>
      </c>
      <c r="L25" s="11" t="n">
        <v>3</v>
      </c>
    </row>
    <row r="26">
      <c r="A26" s="4" t="inlineStr">
        <is>
          <t>PO-2025-023</t>
        </is>
      </c>
      <c r="B26" s="4" t="inlineStr">
        <is>
          <t>Mountain Bicycle 26"</t>
        </is>
      </c>
      <c r="C26" s="5" t="n">
        <v>25</v>
      </c>
      <c r="D26" s="5" t="n">
        <v>18</v>
      </c>
      <c r="E26" s="6" t="n">
        <v>147.3</v>
      </c>
      <c r="F26" s="6" t="n">
        <v>174.4</v>
      </c>
      <c r="G26" s="4" t="inlineStr">
        <is>
          <t>WC-FABRICATION</t>
        </is>
      </c>
      <c r="H26" s="17" t="inlineStr">
        <is>
          <t>In Progress</t>
        </is>
      </c>
      <c r="I26" s="8" t="n">
        <v>45755</v>
      </c>
      <c r="J26" s="9" t="n">
        <v>0.72</v>
      </c>
      <c r="K26" s="4" t="inlineStr">
        <is>
          <t>Apr-2025</t>
        </is>
      </c>
      <c r="L26" s="5" t="n">
        <v>7</v>
      </c>
    </row>
    <row r="27">
      <c r="A27" s="10" t="inlineStr">
        <is>
          <t>PO-2025-024</t>
        </is>
      </c>
      <c r="B27" s="10" t="inlineStr">
        <is>
          <t>Road Bicycle 28"</t>
        </is>
      </c>
      <c r="C27" s="11" t="n">
        <v>18</v>
      </c>
      <c r="D27" s="11" t="n">
        <v>0</v>
      </c>
      <c r="E27" s="12" t="n">
        <v>0</v>
      </c>
      <c r="F27" s="12" t="n">
        <v>0</v>
      </c>
      <c r="G27" s="10" t="inlineStr">
        <is>
          <t>WC-PAINTING</t>
        </is>
      </c>
      <c r="H27" s="16" t="inlineStr">
        <is>
          <t>Pending</t>
        </is>
      </c>
      <c r="I27" s="14" t="n">
        <v>45725</v>
      </c>
      <c r="J27" s="15" t="n">
        <v>0</v>
      </c>
      <c r="K27" s="10" t="inlineStr">
        <is>
          <t>Mar-2025</t>
        </is>
      </c>
      <c r="L27" s="11" t="n">
        <v>18</v>
      </c>
    </row>
    <row r="28">
      <c r="A28" s="4" t="inlineStr">
        <is>
          <t>PO-2025-025</t>
        </is>
      </c>
      <c r="B28" s="4" t="inlineStr">
        <is>
          <t>Hybrid Bicycle 27.5"</t>
        </is>
      </c>
      <c r="C28" s="5" t="n">
        <v>23</v>
      </c>
      <c r="D28" s="5" t="n">
        <v>14</v>
      </c>
      <c r="E28" s="6" t="n">
        <v>118</v>
      </c>
      <c r="F28" s="6" t="n">
        <v>146.2</v>
      </c>
      <c r="G28" s="4" t="inlineStr">
        <is>
          <t>WC-ASSEMBLY</t>
        </is>
      </c>
      <c r="H28" s="17" t="inlineStr">
        <is>
          <t>In Progress</t>
        </is>
      </c>
      <c r="I28" s="8" t="n">
        <v>45743</v>
      </c>
      <c r="J28" s="9" t="n">
        <v>0.609</v>
      </c>
      <c r="K28" s="4" t="inlineStr">
        <is>
          <t>Mar-2025</t>
        </is>
      </c>
      <c r="L28" s="5" t="n">
        <v>9</v>
      </c>
    </row>
    <row r="29">
      <c r="A29" s="10" t="inlineStr">
        <is>
          <t>PO-2025-026</t>
        </is>
      </c>
      <c r="B29" s="10" t="inlineStr">
        <is>
          <t>Kids Bicycle 20"</t>
        </is>
      </c>
      <c r="C29" s="11" t="n">
        <v>38</v>
      </c>
      <c r="D29" s="11" t="n">
        <v>19</v>
      </c>
      <c r="E29" s="12" t="n">
        <v>93.8</v>
      </c>
      <c r="F29" s="12" t="n">
        <v>157.5</v>
      </c>
      <c r="G29" s="10" t="inlineStr">
        <is>
          <t>WC-FABRICATION</t>
        </is>
      </c>
      <c r="H29" s="17" t="inlineStr">
        <is>
          <t>In Progress</t>
        </is>
      </c>
      <c r="I29" s="14" t="n">
        <v>45733</v>
      </c>
      <c r="J29" s="15" t="n">
        <v>0.5</v>
      </c>
      <c r="K29" s="10" t="inlineStr">
        <is>
          <t>Mar-2025</t>
        </is>
      </c>
      <c r="L29" s="11" t="n">
        <v>19</v>
      </c>
    </row>
    <row r="30">
      <c r="A30" s="4" t="inlineStr">
        <is>
          <t>PO-2025-027</t>
        </is>
      </c>
      <c r="B30" s="4" t="inlineStr">
        <is>
          <t>Road Bicycle 28"</t>
        </is>
      </c>
      <c r="C30" s="5" t="n">
        <v>47</v>
      </c>
      <c r="D30" s="5" t="n">
        <v>41</v>
      </c>
      <c r="E30" s="6" t="n">
        <v>398.4</v>
      </c>
      <c r="F30" s="6" t="n">
        <v>339.1</v>
      </c>
      <c r="G30" s="4" t="inlineStr">
        <is>
          <t>WC-FABRICATION</t>
        </is>
      </c>
      <c r="H30" s="13" t="inlineStr">
        <is>
          <t>Completed</t>
        </is>
      </c>
      <c r="I30" s="8" t="n">
        <v>45773</v>
      </c>
      <c r="J30" s="9" t="n">
        <v>0.872</v>
      </c>
      <c r="K30" s="4" t="inlineStr">
        <is>
          <t>Apr-2025</t>
        </is>
      </c>
      <c r="L30" s="5" t="n">
        <v>6</v>
      </c>
    </row>
    <row r="31">
      <c r="A31" s="10" t="inlineStr">
        <is>
          <t>PO-2025-028</t>
        </is>
      </c>
      <c r="B31" s="10" t="inlineStr">
        <is>
          <t>Mountain Bicycle 26"</t>
        </is>
      </c>
      <c r="C31" s="11" t="n">
        <v>31</v>
      </c>
      <c r="D31" s="11" t="n">
        <v>29</v>
      </c>
      <c r="E31" s="12" t="n">
        <v>244.5</v>
      </c>
      <c r="F31" s="12" t="n">
        <v>281</v>
      </c>
      <c r="G31" s="10" t="inlineStr">
        <is>
          <t>WC-FINAL-ASM</t>
        </is>
      </c>
      <c r="H31" s="13" t="inlineStr">
        <is>
          <t>Completed</t>
        </is>
      </c>
      <c r="I31" s="14" t="n">
        <v>45674</v>
      </c>
      <c r="J31" s="15" t="n">
        <v>0.9350000000000001</v>
      </c>
      <c r="K31" s="10" t="inlineStr">
        <is>
          <t>Jan-2025</t>
        </is>
      </c>
      <c r="L31" s="11" t="n">
        <v>2</v>
      </c>
    </row>
    <row r="32">
      <c r="A32" s="4" t="inlineStr">
        <is>
          <t>PO-2025-029</t>
        </is>
      </c>
      <c r="B32" s="4" t="inlineStr">
        <is>
          <t>Hybrid Bicycle 27.5"</t>
        </is>
      </c>
      <c r="C32" s="5" t="n">
        <v>25</v>
      </c>
      <c r="D32" s="5" t="n">
        <v>16</v>
      </c>
      <c r="E32" s="6" t="n">
        <v>125.3</v>
      </c>
      <c r="F32" s="6" t="n">
        <v>134.4</v>
      </c>
      <c r="G32" s="4" t="inlineStr">
        <is>
          <t>WC-ASSEMBLY</t>
        </is>
      </c>
      <c r="H32" s="17" t="inlineStr">
        <is>
          <t>In Progress</t>
        </is>
      </c>
      <c r="I32" s="8" t="n">
        <v>45703</v>
      </c>
      <c r="J32" s="9" t="n">
        <v>0.64</v>
      </c>
      <c r="K32" s="4" t="inlineStr">
        <is>
          <t>Feb-2025</t>
        </is>
      </c>
      <c r="L32" s="5" t="n">
        <v>9</v>
      </c>
    </row>
    <row r="33">
      <c r="A33" s="10" t="inlineStr">
        <is>
          <t>PO-2025-030</t>
        </is>
      </c>
      <c r="B33" s="10" t="inlineStr">
        <is>
          <t>Hybrid Bicycle 27.5"</t>
        </is>
      </c>
      <c r="C33" s="11" t="n">
        <v>36</v>
      </c>
      <c r="D33" s="11" t="n">
        <v>24</v>
      </c>
      <c r="E33" s="12" t="n">
        <v>184</v>
      </c>
      <c r="F33" s="12" t="n">
        <v>245.9</v>
      </c>
      <c r="G33" s="10" t="inlineStr">
        <is>
          <t>WC-QC</t>
        </is>
      </c>
      <c r="H33" s="17" t="inlineStr">
        <is>
          <t>In Progress</t>
        </is>
      </c>
      <c r="I33" s="14" t="n">
        <v>45670</v>
      </c>
      <c r="J33" s="15" t="n">
        <v>0.667</v>
      </c>
      <c r="K33" s="10" t="inlineStr">
        <is>
          <t>Jan-2025</t>
        </is>
      </c>
      <c r="L33" s="11" t="n">
        <v>12</v>
      </c>
    </row>
    <row r="34">
      <c r="A34" s="4" t="inlineStr">
        <is>
          <t>PO-2025-031</t>
        </is>
      </c>
      <c r="B34" s="4" t="inlineStr">
        <is>
          <t>Mountain Bicycle 26"</t>
        </is>
      </c>
      <c r="C34" s="5" t="n">
        <v>35</v>
      </c>
      <c r="D34" s="5" t="n">
        <v>0</v>
      </c>
      <c r="E34" s="6" t="n">
        <v>0</v>
      </c>
      <c r="F34" s="6" t="n">
        <v>0</v>
      </c>
      <c r="G34" s="4" t="inlineStr">
        <is>
          <t>WC-WELDING</t>
        </is>
      </c>
      <c r="H34" s="7" t="inlineStr">
        <is>
          <t>Cancelled</t>
        </is>
      </c>
      <c r="I34" s="8" t="n">
        <v>45682</v>
      </c>
      <c r="J34" s="9" t="n">
        <v>0</v>
      </c>
      <c r="K34" s="4" t="inlineStr">
        <is>
          <t>Jan-2025</t>
        </is>
      </c>
      <c r="L34" s="5" t="n">
        <v>35</v>
      </c>
    </row>
    <row r="35">
      <c r="A35" s="10" t="inlineStr">
        <is>
          <t>PO-2025-032</t>
        </is>
      </c>
      <c r="B35" s="10" t="inlineStr">
        <is>
          <t>Road Bicycle 28"</t>
        </is>
      </c>
      <c r="C35" s="11" t="n">
        <v>44</v>
      </c>
      <c r="D35" s="11" t="n">
        <v>15</v>
      </c>
      <c r="E35" s="12" t="n">
        <v>134.9</v>
      </c>
      <c r="F35" s="12" t="n">
        <v>144.2</v>
      </c>
      <c r="G35" s="10" t="inlineStr">
        <is>
          <t>WC-FABRICATION</t>
        </is>
      </c>
      <c r="H35" s="17" t="inlineStr">
        <is>
          <t>In Progress</t>
        </is>
      </c>
      <c r="I35" s="14" t="n">
        <v>45714</v>
      </c>
      <c r="J35" s="15" t="n">
        <v>0.341</v>
      </c>
      <c r="K35" s="10" t="inlineStr">
        <is>
          <t>Feb-2025</t>
        </is>
      </c>
      <c r="L35" s="11" t="n">
        <v>29</v>
      </c>
    </row>
    <row r="36">
      <c r="A36" s="4" t="inlineStr">
        <is>
          <t>PO-2025-033</t>
        </is>
      </c>
      <c r="B36" s="4" t="inlineStr">
        <is>
          <t>Mountain Bicycle 26"</t>
        </is>
      </c>
      <c r="C36" s="5" t="n">
        <v>13</v>
      </c>
      <c r="D36" s="5" t="n">
        <v>0</v>
      </c>
      <c r="E36" s="6" t="n">
        <v>0</v>
      </c>
      <c r="F36" s="6" t="n">
        <v>0</v>
      </c>
      <c r="G36" s="4" t="inlineStr">
        <is>
          <t>WC-FABRICATION</t>
        </is>
      </c>
      <c r="H36" s="16" t="inlineStr">
        <is>
          <t>Pending</t>
        </is>
      </c>
      <c r="I36" s="8" t="n">
        <v>45776</v>
      </c>
      <c r="J36" s="9" t="n">
        <v>0</v>
      </c>
      <c r="K36" s="4" t="inlineStr">
        <is>
          <t>Apr-2025</t>
        </is>
      </c>
      <c r="L36" s="5" t="n">
        <v>13</v>
      </c>
    </row>
    <row r="37">
      <c r="A37" s="10" t="inlineStr">
        <is>
          <t>PO-2025-034</t>
        </is>
      </c>
      <c r="B37" s="10" t="inlineStr">
        <is>
          <t>Road Bicycle 28"</t>
        </is>
      </c>
      <c r="C37" s="11" t="n">
        <v>20</v>
      </c>
      <c r="D37" s="11" t="n">
        <v>18</v>
      </c>
      <c r="E37" s="12" t="n">
        <v>162.6</v>
      </c>
      <c r="F37" s="12" t="n">
        <v>169.4</v>
      </c>
      <c r="G37" s="10" t="inlineStr">
        <is>
          <t>WC-FABRICATION</t>
        </is>
      </c>
      <c r="H37" s="13" t="inlineStr">
        <is>
          <t>Completed</t>
        </is>
      </c>
      <c r="I37" s="14" t="n">
        <v>45679</v>
      </c>
      <c r="J37" s="15" t="n">
        <v>0.9</v>
      </c>
      <c r="K37" s="10" t="inlineStr">
        <is>
          <t>Jan-2025</t>
        </is>
      </c>
      <c r="L37" s="11" t="n">
        <v>2</v>
      </c>
    </row>
    <row r="38">
      <c r="A38" s="4" t="inlineStr">
        <is>
          <t>PO-2025-035</t>
        </is>
      </c>
      <c r="B38" s="4" t="inlineStr">
        <is>
          <t>Hybrid Bicycle 27.5"</t>
        </is>
      </c>
      <c r="C38" s="5" t="n">
        <v>10</v>
      </c>
      <c r="D38" s="5" t="n">
        <v>9</v>
      </c>
      <c r="E38" s="6" t="n">
        <v>76.90000000000001</v>
      </c>
      <c r="F38" s="6" t="n">
        <v>86.3</v>
      </c>
      <c r="G38" s="4" t="inlineStr">
        <is>
          <t>WC-ASSEMBLY</t>
        </is>
      </c>
      <c r="H38" s="13" t="inlineStr">
        <is>
          <t>Completed</t>
        </is>
      </c>
      <c r="I38" s="8" t="n">
        <v>45747</v>
      </c>
      <c r="J38" s="9" t="n">
        <v>0.9</v>
      </c>
      <c r="K38" s="4" t="inlineStr">
        <is>
          <t>Mar-2025</t>
        </is>
      </c>
      <c r="L38" s="5" t="n">
        <v>1</v>
      </c>
    </row>
    <row r="39">
      <c r="A39" s="10" t="inlineStr">
        <is>
          <t>PO-2025-036</t>
        </is>
      </c>
      <c r="B39" s="10" t="inlineStr">
        <is>
          <t>Hybrid Bicycle 27.5"</t>
        </is>
      </c>
      <c r="C39" s="11" t="n">
        <v>19</v>
      </c>
      <c r="D39" s="11" t="n">
        <v>17</v>
      </c>
      <c r="E39" s="12" t="n">
        <v>149</v>
      </c>
      <c r="F39" s="12" t="n">
        <v>170</v>
      </c>
      <c r="G39" s="10" t="inlineStr">
        <is>
          <t>WC-FINAL-ASM</t>
        </is>
      </c>
      <c r="H39" s="13" t="inlineStr">
        <is>
          <t>Completed</t>
        </is>
      </c>
      <c r="I39" s="14" t="n">
        <v>45665</v>
      </c>
      <c r="J39" s="15" t="n">
        <v>0.895</v>
      </c>
      <c r="K39" s="10" t="inlineStr">
        <is>
          <t>Jan-2025</t>
        </is>
      </c>
      <c r="L39" s="11" t="n">
        <v>2</v>
      </c>
    </row>
    <row r="40">
      <c r="A40" s="4" t="inlineStr">
        <is>
          <t>PO-2025-037</t>
        </is>
      </c>
      <c r="B40" s="4" t="inlineStr">
        <is>
          <t>Kids Bicycle 20"</t>
        </is>
      </c>
      <c r="C40" s="5" t="n">
        <v>13</v>
      </c>
      <c r="D40" s="5" t="n">
        <v>12</v>
      </c>
      <c r="E40" s="6" t="n">
        <v>61.5</v>
      </c>
      <c r="F40" s="6" t="n">
        <v>130.9</v>
      </c>
      <c r="G40" s="4" t="inlineStr">
        <is>
          <t>WC-WELDING</t>
        </is>
      </c>
      <c r="H40" s="13" t="inlineStr">
        <is>
          <t>Completed</t>
        </is>
      </c>
      <c r="I40" s="8" t="n">
        <v>45665</v>
      </c>
      <c r="J40" s="9" t="n">
        <v>0.9229999999999999</v>
      </c>
      <c r="K40" s="4" t="inlineStr">
        <is>
          <t>Jan-2025</t>
        </is>
      </c>
      <c r="L40" s="5" t="n">
        <v>1</v>
      </c>
    </row>
    <row r="41">
      <c r="A41" s="10" t="inlineStr">
        <is>
          <t>PO-2025-038</t>
        </is>
      </c>
      <c r="B41" s="10" t="inlineStr">
        <is>
          <t>Mountain Bicycle 26"</t>
        </is>
      </c>
      <c r="C41" s="11" t="n">
        <v>21</v>
      </c>
      <c r="D41" s="11" t="n">
        <v>19</v>
      </c>
      <c r="E41" s="12" t="n">
        <v>169.8</v>
      </c>
      <c r="F41" s="12" t="n">
        <v>168.3</v>
      </c>
      <c r="G41" s="10" t="inlineStr">
        <is>
          <t>WC-FABRICATION</t>
        </is>
      </c>
      <c r="H41" s="13" t="inlineStr">
        <is>
          <t>Completed</t>
        </is>
      </c>
      <c r="I41" s="14" t="n">
        <v>45771</v>
      </c>
      <c r="J41" s="15" t="n">
        <v>0.905</v>
      </c>
      <c r="K41" s="10" t="inlineStr">
        <is>
          <t>Apr-2025</t>
        </is>
      </c>
      <c r="L41" s="11" t="n">
        <v>2</v>
      </c>
    </row>
    <row r="42">
      <c r="A42" s="4" t="inlineStr">
        <is>
          <t>PO-2025-039</t>
        </is>
      </c>
      <c r="B42" s="4" t="inlineStr">
        <is>
          <t>Road Bicycle 28"</t>
        </is>
      </c>
      <c r="C42" s="5" t="n">
        <v>47</v>
      </c>
      <c r="D42" s="5" t="n">
        <v>0</v>
      </c>
      <c r="E42" s="6" t="n">
        <v>0</v>
      </c>
      <c r="F42" s="6" t="n">
        <v>0</v>
      </c>
      <c r="G42" s="4" t="inlineStr">
        <is>
          <t>WC-QC</t>
        </is>
      </c>
      <c r="H42" s="16" t="inlineStr">
        <is>
          <t>Pending</t>
        </is>
      </c>
      <c r="I42" s="8" t="n">
        <v>45732</v>
      </c>
      <c r="J42" s="9" t="n">
        <v>0</v>
      </c>
      <c r="K42" s="4" t="inlineStr">
        <is>
          <t>Mar-2025</t>
        </is>
      </c>
      <c r="L42" s="5" t="n">
        <v>47</v>
      </c>
    </row>
    <row r="43">
      <c r="A43" s="10" t="inlineStr">
        <is>
          <t>PO-2025-040</t>
        </is>
      </c>
      <c r="B43" s="10" t="inlineStr">
        <is>
          <t>Kids Bicycle 20"</t>
        </is>
      </c>
      <c r="C43" s="11" t="n">
        <v>26</v>
      </c>
      <c r="D43" s="11" t="n">
        <v>24</v>
      </c>
      <c r="E43" s="12" t="n">
        <v>119.7</v>
      </c>
      <c r="F43" s="12" t="n">
        <v>215</v>
      </c>
      <c r="G43" s="10" t="inlineStr">
        <is>
          <t>WC-WELDING</t>
        </is>
      </c>
      <c r="H43" s="13" t="inlineStr">
        <is>
          <t>Completed</t>
        </is>
      </c>
      <c r="I43" s="14" t="n">
        <v>45743</v>
      </c>
      <c r="J43" s="15" t="n">
        <v>0.9229999999999999</v>
      </c>
      <c r="K43" s="10" t="inlineStr">
        <is>
          <t>Mar-2025</t>
        </is>
      </c>
      <c r="L43" s="11" t="n">
        <v>2</v>
      </c>
    </row>
    <row r="44">
      <c r="A44" s="4" t="inlineStr">
        <is>
          <t>PO-2025-041</t>
        </is>
      </c>
      <c r="B44" s="4" t="inlineStr">
        <is>
          <t>Kids Bicycle 20"</t>
        </is>
      </c>
      <c r="C44" s="5" t="n">
        <v>39</v>
      </c>
      <c r="D44" s="5" t="n">
        <v>38</v>
      </c>
      <c r="E44" s="6" t="n">
        <v>207.2</v>
      </c>
      <c r="F44" s="6" t="n">
        <v>308</v>
      </c>
      <c r="G44" s="4" t="inlineStr">
        <is>
          <t>WC-FINAL-ASM</t>
        </is>
      </c>
      <c r="H44" s="13" t="inlineStr">
        <is>
          <t>Completed</t>
        </is>
      </c>
      <c r="I44" s="8" t="n">
        <v>45730</v>
      </c>
      <c r="J44" s="9" t="n">
        <v>0.9740000000000001</v>
      </c>
      <c r="K44" s="4" t="inlineStr">
        <is>
          <t>Mar-2025</t>
        </is>
      </c>
      <c r="L44" s="5" t="n">
        <v>1</v>
      </c>
    </row>
    <row r="45">
      <c r="A45" s="10" t="inlineStr">
        <is>
          <t>PO-2025-042</t>
        </is>
      </c>
      <c r="B45" s="10" t="inlineStr">
        <is>
          <t>Mountain Bicycle 26"</t>
        </is>
      </c>
      <c r="C45" s="11" t="n">
        <v>14</v>
      </c>
      <c r="D45" s="11" t="n">
        <v>5</v>
      </c>
      <c r="E45" s="12" t="n">
        <v>42.1</v>
      </c>
      <c r="F45" s="12" t="n">
        <v>55.9</v>
      </c>
      <c r="G45" s="10" t="inlineStr">
        <is>
          <t>WC-FABRICATION</t>
        </is>
      </c>
      <c r="H45" s="17" t="inlineStr">
        <is>
          <t>In Progress</t>
        </is>
      </c>
      <c r="I45" s="14" t="n">
        <v>45770</v>
      </c>
      <c r="J45" s="15" t="n">
        <v>0.357</v>
      </c>
      <c r="K45" s="10" t="inlineStr">
        <is>
          <t>Apr-2025</t>
        </is>
      </c>
      <c r="L45" s="11" t="n">
        <v>9</v>
      </c>
    </row>
    <row r="46">
      <c r="A46" s="4" t="inlineStr">
        <is>
          <t>PO-2025-043</t>
        </is>
      </c>
      <c r="B46" s="4" t="inlineStr">
        <is>
          <t>Road Bicycle 28"</t>
        </is>
      </c>
      <c r="C46" s="5" t="n">
        <v>33</v>
      </c>
      <c r="D46" s="5" t="n">
        <v>29</v>
      </c>
      <c r="E46" s="6" t="n">
        <v>286.8</v>
      </c>
      <c r="F46" s="6" t="n">
        <v>302</v>
      </c>
      <c r="G46" s="4" t="inlineStr">
        <is>
          <t>WC-FINAL-ASM</t>
        </is>
      </c>
      <c r="H46" s="13" t="inlineStr">
        <is>
          <t>Completed</t>
        </is>
      </c>
      <c r="I46" s="8" t="n">
        <v>45761</v>
      </c>
      <c r="J46" s="9" t="n">
        <v>0.879</v>
      </c>
      <c r="K46" s="4" t="inlineStr">
        <is>
          <t>Apr-2025</t>
        </is>
      </c>
      <c r="L46" s="5" t="n">
        <v>4</v>
      </c>
    </row>
    <row r="47">
      <c r="A47" s="10" t="inlineStr">
        <is>
          <t>PO-2025-044</t>
        </is>
      </c>
      <c r="B47" s="10" t="inlineStr">
        <is>
          <t>Mountain Bicycle 26"</t>
        </is>
      </c>
      <c r="C47" s="11" t="n">
        <v>52</v>
      </c>
      <c r="D47" s="11" t="n">
        <v>22</v>
      </c>
      <c r="E47" s="12" t="n">
        <v>196.3</v>
      </c>
      <c r="F47" s="12" t="n">
        <v>246.3</v>
      </c>
      <c r="G47" s="10" t="inlineStr">
        <is>
          <t>WC-WELDING</t>
        </is>
      </c>
      <c r="H47" s="17" t="inlineStr">
        <is>
          <t>In Progress</t>
        </is>
      </c>
      <c r="I47" s="14" t="n">
        <v>45691</v>
      </c>
      <c r="J47" s="15" t="n">
        <v>0.423</v>
      </c>
      <c r="K47" s="10" t="inlineStr">
        <is>
          <t>Feb-2025</t>
        </is>
      </c>
      <c r="L47" s="11" t="n">
        <v>30</v>
      </c>
    </row>
    <row r="48">
      <c r="A48" s="4" t="inlineStr">
        <is>
          <t>PO-2025-045</t>
        </is>
      </c>
      <c r="B48" s="4" t="inlineStr">
        <is>
          <t>Mountain Bicycle 26"</t>
        </is>
      </c>
      <c r="C48" s="5" t="n">
        <v>16</v>
      </c>
      <c r="D48" s="5" t="n">
        <v>0</v>
      </c>
      <c r="E48" s="6" t="n">
        <v>0</v>
      </c>
      <c r="F48" s="6" t="n">
        <v>0</v>
      </c>
      <c r="G48" s="4" t="inlineStr">
        <is>
          <t>WC-FINAL-ASM</t>
        </is>
      </c>
      <c r="H48" s="7" t="inlineStr">
        <is>
          <t>Cancelled</t>
        </is>
      </c>
      <c r="I48" s="8" t="n">
        <v>45684</v>
      </c>
      <c r="J48" s="9" t="n">
        <v>0</v>
      </c>
      <c r="K48" s="4" t="inlineStr">
        <is>
          <t>Jan-2025</t>
        </is>
      </c>
      <c r="L48" s="5" t="n">
        <v>16</v>
      </c>
    </row>
    <row r="49">
      <c r="A49" s="10" t="inlineStr">
        <is>
          <t>PO-2025-046</t>
        </is>
      </c>
      <c r="B49" s="10" t="inlineStr">
        <is>
          <t>Kids Bicycle 20"</t>
        </is>
      </c>
      <c r="C49" s="11" t="n">
        <v>23</v>
      </c>
      <c r="D49" s="11" t="n">
        <v>0</v>
      </c>
      <c r="E49" s="12" t="n">
        <v>0</v>
      </c>
      <c r="F49" s="12" t="n">
        <v>0</v>
      </c>
      <c r="G49" s="10" t="inlineStr">
        <is>
          <t>WC-ASSEMBLY</t>
        </is>
      </c>
      <c r="H49" s="16" t="inlineStr">
        <is>
          <t>Pending</t>
        </is>
      </c>
      <c r="I49" s="14" t="n">
        <v>45690</v>
      </c>
      <c r="J49" s="15" t="n">
        <v>0</v>
      </c>
      <c r="K49" s="10" t="inlineStr">
        <is>
          <t>Feb-2025</t>
        </is>
      </c>
      <c r="L49" s="11" t="n">
        <v>23</v>
      </c>
    </row>
    <row r="50">
      <c r="A50" s="4" t="inlineStr">
        <is>
          <t>PO-2025-047</t>
        </is>
      </c>
      <c r="B50" s="4" t="inlineStr">
        <is>
          <t>Mountain Bicycle 26"</t>
        </is>
      </c>
      <c r="C50" s="5" t="n">
        <v>15</v>
      </c>
      <c r="D50" s="5" t="n">
        <v>0</v>
      </c>
      <c r="E50" s="6" t="n">
        <v>0</v>
      </c>
      <c r="F50" s="6" t="n">
        <v>0</v>
      </c>
      <c r="G50" s="4" t="inlineStr">
        <is>
          <t>WC-FABRICATION</t>
        </is>
      </c>
      <c r="H50" s="16" t="inlineStr">
        <is>
          <t>Pending</t>
        </is>
      </c>
      <c r="I50" s="8" t="n">
        <v>45700</v>
      </c>
      <c r="J50" s="9" t="n">
        <v>0</v>
      </c>
      <c r="K50" s="4" t="inlineStr">
        <is>
          <t>Feb-2025</t>
        </is>
      </c>
      <c r="L50" s="5" t="n">
        <v>15</v>
      </c>
    </row>
    <row r="51">
      <c r="A51" s="10" t="inlineStr">
        <is>
          <t>PO-2025-048</t>
        </is>
      </c>
      <c r="B51" s="10" t="inlineStr">
        <is>
          <t>Road Bicycle 28"</t>
        </is>
      </c>
      <c r="C51" s="11" t="n">
        <v>50</v>
      </c>
      <c r="D51" s="11" t="n">
        <v>44</v>
      </c>
      <c r="E51" s="12" t="n">
        <v>411.4</v>
      </c>
      <c r="F51" s="12" t="n">
        <v>458.5</v>
      </c>
      <c r="G51" s="10" t="inlineStr">
        <is>
          <t>WC-FINAL-ASM</t>
        </is>
      </c>
      <c r="H51" s="13" t="inlineStr">
        <is>
          <t>Completed</t>
        </is>
      </c>
      <c r="I51" s="14" t="n">
        <v>45659</v>
      </c>
      <c r="J51" s="15" t="n">
        <v>0.88</v>
      </c>
      <c r="K51" s="10" t="inlineStr">
        <is>
          <t>Jan-2025</t>
        </is>
      </c>
      <c r="L51" s="11" t="n">
        <v>6</v>
      </c>
    </row>
    <row r="52">
      <c r="A52" s="4" t="inlineStr">
        <is>
          <t>PO-2025-049</t>
        </is>
      </c>
      <c r="B52" s="4" t="inlineStr">
        <is>
          <t>Mountain Bicycle 26"</t>
        </is>
      </c>
      <c r="C52" s="5" t="n">
        <v>14</v>
      </c>
      <c r="D52" s="5" t="n">
        <v>0</v>
      </c>
      <c r="E52" s="6" t="n">
        <v>0</v>
      </c>
      <c r="F52" s="6" t="n">
        <v>0</v>
      </c>
      <c r="G52" s="4" t="inlineStr">
        <is>
          <t>WC-PAINTING</t>
        </is>
      </c>
      <c r="H52" s="16" t="inlineStr">
        <is>
          <t>Pending</t>
        </is>
      </c>
      <c r="I52" s="8" t="n">
        <v>45732</v>
      </c>
      <c r="J52" s="9" t="n">
        <v>0</v>
      </c>
      <c r="K52" s="4" t="inlineStr">
        <is>
          <t>Mar-2025</t>
        </is>
      </c>
      <c r="L52" s="5" t="n">
        <v>14</v>
      </c>
    </row>
    <row r="53" ht="16" customHeight="1">
      <c r="A53" s="10" t="inlineStr">
        <is>
          <t>PO-2025-050</t>
        </is>
      </c>
      <c r="B53" s="10" t="inlineStr">
        <is>
          <t>Road Bicycle 28"</t>
        </is>
      </c>
      <c r="C53" s="11" t="n">
        <v>37</v>
      </c>
      <c r="D53" s="11" t="n">
        <v>32</v>
      </c>
      <c r="E53" s="12" t="n">
        <v>295.8</v>
      </c>
      <c r="F53" s="12" t="n">
        <v>357.7</v>
      </c>
      <c r="G53" s="10" t="inlineStr">
        <is>
          <t>WC-FABRICATION</t>
        </is>
      </c>
      <c r="H53" s="13" t="inlineStr">
        <is>
          <t>Completed</t>
        </is>
      </c>
      <c r="I53" s="14" t="n">
        <v>45773</v>
      </c>
      <c r="J53" s="15" t="n">
        <v>0.865</v>
      </c>
      <c r="K53" s="10" t="inlineStr">
        <is>
          <t>Apr-2025</t>
        </is>
      </c>
      <c r="L53" s="11" t="n">
        <v>5</v>
      </c>
    </row>
  </sheetData>
  <autoFilter ref="A3:L5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X16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4" customWidth="1" min="7" max="7"/>
    <col width="14" customWidth="1" min="8" max="8"/>
    <col width="14" customWidth="1" min="9" max="9"/>
    <col width="14" customWidth="1" min="10" max="10"/>
    <col width="6" customWidth="1" min="11" max="11"/>
    <col width="17" customWidth="1" min="12" max="12"/>
    <col width="17" customWidth="1" min="13" max="13"/>
    <col width="17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</cols>
  <sheetData>
    <row r="2" ht="36" customHeight="1">
      <c r="B2" s="18" t="inlineStr">
        <is>
          <t>SAP PP Production Planning – KPI Summary Dashboard</t>
        </is>
      </c>
    </row>
    <row r="4" ht="22" customHeight="1">
      <c r="B4" s="19" t="inlineStr">
        <is>
          <t>Total Orders</t>
        </is>
      </c>
      <c r="C4" s="20" t="n"/>
      <c r="E4" s="19" t="inlineStr">
        <is>
          <t>Qty Planned</t>
        </is>
      </c>
      <c r="F4" s="20" t="n"/>
      <c r="H4" s="21" t="inlineStr">
        <is>
          <t>Qty Produced</t>
        </is>
      </c>
      <c r="I4" s="22" t="n"/>
      <c r="K4" s="21" t="inlineStr">
        <is>
          <t>Orders Completed</t>
        </is>
      </c>
      <c r="L4" s="22" t="n"/>
      <c r="N4" s="23" t="inlineStr">
        <is>
          <t>Overall Efficiency</t>
        </is>
      </c>
      <c r="O4" s="24" t="n"/>
      <c r="Q4" s="23" t="inlineStr">
        <is>
          <t>Total RM Used</t>
        </is>
      </c>
      <c r="R4" s="24" t="n"/>
      <c r="T4" s="25" t="inlineStr">
        <is>
          <t>Total Prod. Time</t>
        </is>
      </c>
      <c r="U4" s="26" t="n"/>
      <c r="W4" s="27" t="inlineStr">
        <is>
          <t>Total Scrap</t>
        </is>
      </c>
      <c r="X4" s="28" t="n"/>
    </row>
    <row r="5" ht="44" customHeight="1">
      <c r="B5" s="29" t="n">
        <v>50</v>
      </c>
      <c r="C5" s="30" t="n"/>
      <c r="E5" s="29" t="n">
        <v>1549</v>
      </c>
      <c r="F5" s="30" t="n"/>
      <c r="H5" s="31" t="n">
        <v>791</v>
      </c>
      <c r="I5" s="30" t="n"/>
      <c r="K5" s="31" t="n">
        <v>21</v>
      </c>
      <c r="L5" s="30" t="n"/>
      <c r="N5" s="32" t="n">
        <v>51.1</v>
      </c>
      <c r="O5" s="30" t="n"/>
      <c r="Q5" s="32" t="n">
        <v>6314.6</v>
      </c>
      <c r="R5" s="30" t="n"/>
      <c r="T5" s="33" t="n">
        <v>7568.9</v>
      </c>
      <c r="U5" s="30" t="n"/>
      <c r="W5" s="34" t="n">
        <v>758</v>
      </c>
      <c r="X5" s="30" t="n"/>
    </row>
    <row r="6" ht="22" customHeight="1">
      <c r="B6" s="35" t="inlineStr">
        <is>
          <t>Unit: #</t>
        </is>
      </c>
      <c r="C6" s="30" t="n"/>
      <c r="E6" s="35" t="inlineStr">
        <is>
          <t>Unit: EA</t>
        </is>
      </c>
      <c r="F6" s="30" t="n"/>
      <c r="H6" s="35" t="inlineStr">
        <is>
          <t>Unit: EA</t>
        </is>
      </c>
      <c r="I6" s="30" t="n"/>
      <c r="K6" s="35" t="inlineStr">
        <is>
          <t>Unit: #</t>
        </is>
      </c>
      <c r="L6" s="30" t="n"/>
      <c r="N6" s="35" t="inlineStr">
        <is>
          <t>Unit: %</t>
        </is>
      </c>
      <c r="O6" s="30" t="n"/>
      <c r="Q6" s="35" t="inlineStr">
        <is>
          <t>Unit: kg</t>
        </is>
      </c>
      <c r="R6" s="30" t="n"/>
      <c r="T6" s="35" t="inlineStr">
        <is>
          <t>Unit: hrs</t>
        </is>
      </c>
      <c r="U6" s="30" t="n"/>
      <c r="W6" s="35" t="inlineStr">
        <is>
          <t>Unit: EA</t>
        </is>
      </c>
      <c r="X6" s="30" t="n"/>
    </row>
    <row r="7" ht="20" customHeight="1"/>
    <row r="9" ht="22" customHeight="1">
      <c r="B9" s="36" t="inlineStr">
        <is>
          <t>Order Status Breakdown</t>
        </is>
      </c>
      <c r="G9" s="36" t="inlineStr">
        <is>
          <t>Production by Product</t>
        </is>
      </c>
      <c r="L9" s="36" t="inlineStr">
        <is>
          <t>Work Center Utilization</t>
        </is>
      </c>
    </row>
    <row r="10">
      <c r="B10" s="3" t="inlineStr">
        <is>
          <t>Status</t>
        </is>
      </c>
      <c r="C10" s="3" t="inlineStr">
        <is>
          <t>Count</t>
        </is>
      </c>
      <c r="D10" s="3" t="inlineStr">
        <is>
          <t>% of Total</t>
        </is>
      </c>
      <c r="G10" s="3" t="inlineStr">
        <is>
          <t>Product</t>
        </is>
      </c>
      <c r="H10" s="3" t="inlineStr">
        <is>
          <t>Planned</t>
        </is>
      </c>
      <c r="I10" s="3" t="inlineStr">
        <is>
          <t>Produced</t>
        </is>
      </c>
      <c r="J10" s="3" t="inlineStr">
        <is>
          <t>Eff %</t>
        </is>
      </c>
      <c r="L10" s="3" t="inlineStr">
        <is>
          <t>Work Center</t>
        </is>
      </c>
      <c r="M10" s="3" t="inlineStr">
        <is>
          <t>Orders</t>
        </is>
      </c>
      <c r="N10" s="3" t="inlineStr">
        <is>
          <t>Total Hours</t>
        </is>
      </c>
    </row>
    <row r="11" ht="18" customHeight="1">
      <c r="B11" s="13" t="inlineStr">
        <is>
          <t>Completed</t>
        </is>
      </c>
      <c r="C11" s="37" t="n">
        <v>21</v>
      </c>
      <c r="D11" s="37" t="inlineStr">
        <is>
          <t>42.0%</t>
        </is>
      </c>
      <c r="G11" s="4" t="inlineStr">
        <is>
          <t>Mountain Bicycle 26"</t>
        </is>
      </c>
      <c r="H11" s="4" t="n">
        <v>407</v>
      </c>
      <c r="I11" s="4" t="n">
        <v>179</v>
      </c>
      <c r="J11" s="4" t="inlineStr">
        <is>
          <t>44.0%</t>
        </is>
      </c>
      <c r="L11" s="4" t="inlineStr">
        <is>
          <t>WC-QC</t>
        </is>
      </c>
      <c r="M11" s="4" t="n">
        <v>6</v>
      </c>
      <c r="N11" s="4" t="n">
        <v>830.2</v>
      </c>
    </row>
    <row r="12" ht="18" customHeight="1">
      <c r="B12" s="17" t="inlineStr">
        <is>
          <t>In Progress</t>
        </is>
      </c>
      <c r="C12" s="38" t="n">
        <v>10</v>
      </c>
      <c r="D12" s="38" t="inlineStr">
        <is>
          <t>20.0%</t>
        </is>
      </c>
      <c r="G12" s="10" t="inlineStr">
        <is>
          <t>Road Bicycle 28"</t>
        </is>
      </c>
      <c r="H12" s="10" t="n">
        <v>537</v>
      </c>
      <c r="I12" s="10" t="n">
        <v>293</v>
      </c>
      <c r="J12" s="10" t="inlineStr">
        <is>
          <t>54.6%</t>
        </is>
      </c>
      <c r="L12" s="10" t="inlineStr">
        <is>
          <t>WC-FINAL-ASM</t>
        </is>
      </c>
      <c r="M12" s="10" t="n">
        <v>10</v>
      </c>
      <c r="N12" s="10" t="n">
        <v>2392.3</v>
      </c>
    </row>
    <row r="13" ht="18" customHeight="1">
      <c r="B13" s="39" t="inlineStr">
        <is>
          <t>Pending</t>
        </is>
      </c>
      <c r="C13" s="40" t="n">
        <v>10</v>
      </c>
      <c r="D13" s="40" t="inlineStr">
        <is>
          <t>20.0%</t>
        </is>
      </c>
      <c r="G13" s="4" t="inlineStr">
        <is>
          <t>Kids Bicycle 20"</t>
        </is>
      </c>
      <c r="H13" s="4" t="n">
        <v>394</v>
      </c>
      <c r="I13" s="4" t="n">
        <v>195</v>
      </c>
      <c r="J13" s="4" t="inlineStr">
        <is>
          <t>49.5%</t>
        </is>
      </c>
      <c r="L13" s="4" t="inlineStr">
        <is>
          <t>WC-ASSEMBLY</t>
        </is>
      </c>
      <c r="M13" s="4" t="n">
        <v>6</v>
      </c>
      <c r="N13" s="4" t="n">
        <v>820.4</v>
      </c>
    </row>
    <row r="14" ht="18" customHeight="1">
      <c r="B14" s="41" t="inlineStr">
        <is>
          <t>Cancelled</t>
        </is>
      </c>
      <c r="C14" s="42" t="n">
        <v>9</v>
      </c>
      <c r="D14" s="42" t="inlineStr">
        <is>
          <t>18.0%</t>
        </is>
      </c>
      <c r="G14" s="10" t="inlineStr">
        <is>
          <t>Hybrid Bicycle 27.5"</t>
        </is>
      </c>
      <c r="H14" s="10" t="n">
        <v>211</v>
      </c>
      <c r="I14" s="10" t="n">
        <v>124</v>
      </c>
      <c r="J14" s="10" t="inlineStr">
        <is>
          <t>58.8%</t>
        </is>
      </c>
      <c r="L14" s="10" t="inlineStr">
        <is>
          <t>WC-PAINTING</t>
        </is>
      </c>
      <c r="M14" s="10" t="n">
        <v>8</v>
      </c>
      <c r="N14" s="10" t="n">
        <v>971.5</v>
      </c>
    </row>
    <row r="15">
      <c r="L15" s="4" t="inlineStr">
        <is>
          <t>WC-FABRICATION</t>
        </is>
      </c>
      <c r="M15" s="4" t="n">
        <v>12</v>
      </c>
      <c r="N15" s="4" t="n">
        <v>1566.5</v>
      </c>
    </row>
    <row r="16">
      <c r="L16" s="10" t="inlineStr">
        <is>
          <t>WC-WELDING</t>
        </is>
      </c>
      <c r="M16" s="10" t="n">
        <v>8</v>
      </c>
      <c r="N16" s="10" t="n">
        <v>988</v>
      </c>
    </row>
  </sheetData>
  <mergeCells count="25">
    <mergeCell ref="W4:X4"/>
    <mergeCell ref="T5:U5"/>
    <mergeCell ref="E5:F5"/>
    <mergeCell ref="K5:L5"/>
    <mergeCell ref="W6:X6"/>
    <mergeCell ref="H4:I4"/>
    <mergeCell ref="K4:L4"/>
    <mergeCell ref="W5:X5"/>
    <mergeCell ref="T4:U4"/>
    <mergeCell ref="E4:F4"/>
    <mergeCell ref="H6:I6"/>
    <mergeCell ref="Q5:R5"/>
    <mergeCell ref="N5:O5"/>
    <mergeCell ref="Q4:R4"/>
    <mergeCell ref="E6:F6"/>
    <mergeCell ref="Q6:R6"/>
    <mergeCell ref="B2:K2"/>
    <mergeCell ref="B6:C6"/>
    <mergeCell ref="B5:C5"/>
    <mergeCell ref="N6:O6"/>
    <mergeCell ref="T6:U6"/>
    <mergeCell ref="H5:I5"/>
    <mergeCell ref="K6:L6"/>
    <mergeCell ref="B4:C4"/>
    <mergeCell ref="N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0" customWidth="1" min="5" max="5"/>
    <col width="10" customWidth="1" min="6" max="6"/>
    <col width="12" customWidth="1" min="7" max="7"/>
    <col width="26" customWidth="1" min="9" max="9"/>
    <col width="12" customWidth="1" min="10" max="10"/>
    <col width="12" customWidth="1" min="11" max="11"/>
    <col width="14" customWidth="1" min="13" max="13"/>
    <col width="10" customWidth="1" min="14" max="14"/>
  </cols>
  <sheetData>
    <row r="1">
      <c r="A1" s="36" t="inlineStr">
        <is>
          <t>Monthly Production Trend</t>
        </is>
      </c>
      <c r="E1" s="36" t="inlineStr">
        <is>
          <t>Work Center Utilization</t>
        </is>
      </c>
      <c r="I1" s="36" t="inlineStr">
        <is>
          <t>Production by Product</t>
        </is>
      </c>
      <c r="M1" s="36" t="inlineStr">
        <is>
          <t>Order Status</t>
        </is>
      </c>
    </row>
    <row r="2">
      <c r="A2" s="3" t="inlineStr">
        <is>
          <t>Month</t>
        </is>
      </c>
      <c r="B2" s="3" t="inlineStr">
        <is>
          <t>Qty Planned</t>
        </is>
      </c>
      <c r="C2" s="3" t="inlineStr">
        <is>
          <t>Qty Produced</t>
        </is>
      </c>
      <c r="E2" s="3" t="inlineStr">
        <is>
          <t>Work Center</t>
        </is>
      </c>
      <c r="F2" s="3" t="inlineStr">
        <is>
          <t>Orders</t>
        </is>
      </c>
      <c r="G2" s="3" t="inlineStr">
        <is>
          <t>Total Hrs</t>
        </is>
      </c>
      <c r="I2" s="3" t="inlineStr">
        <is>
          <t>Product</t>
        </is>
      </c>
      <c r="J2" s="3" t="inlineStr">
        <is>
          <t>Planned</t>
        </is>
      </c>
      <c r="K2" s="3" t="inlineStr">
        <is>
          <t>Produced</t>
        </is>
      </c>
      <c r="M2" s="3" t="inlineStr">
        <is>
          <t>Status</t>
        </is>
      </c>
      <c r="N2" s="3" t="inlineStr">
        <is>
          <t>Count</t>
        </is>
      </c>
    </row>
    <row r="3">
      <c r="A3" s="43" t="inlineStr">
        <is>
          <t>Jan-2025</t>
        </is>
      </c>
      <c r="B3" s="43" t="n">
        <v>503</v>
      </c>
      <c r="C3" s="43" t="n">
        <v>376</v>
      </c>
      <c r="E3" s="43" t="inlineStr">
        <is>
          <t>WC-QC</t>
        </is>
      </c>
      <c r="F3" s="43" t="n">
        <v>6</v>
      </c>
      <c r="G3" s="43" t="n">
        <v>830.2</v>
      </c>
      <c r="I3" s="43" t="inlineStr">
        <is>
          <t>Mountain Bicycle 26"</t>
        </is>
      </c>
      <c r="J3" s="43" t="n">
        <v>407</v>
      </c>
      <c r="K3" s="43" t="n">
        <v>179</v>
      </c>
      <c r="M3" s="43" t="inlineStr">
        <is>
          <t>Completed</t>
        </is>
      </c>
      <c r="N3" s="43" t="n">
        <v>21</v>
      </c>
    </row>
    <row r="4">
      <c r="A4" s="44" t="inlineStr">
        <is>
          <t>Feb-2025</t>
        </is>
      </c>
      <c r="B4" s="44" t="n">
        <v>284</v>
      </c>
      <c r="C4" s="44" t="n">
        <v>82</v>
      </c>
      <c r="E4" s="44" t="inlineStr">
        <is>
          <t>WC-FINAL-ASM</t>
        </is>
      </c>
      <c r="F4" s="44" t="n">
        <v>10</v>
      </c>
      <c r="G4" s="44" t="n">
        <v>2392.3</v>
      </c>
      <c r="I4" s="44" t="inlineStr">
        <is>
          <t>Road Bicycle 28"</t>
        </is>
      </c>
      <c r="J4" s="44" t="n">
        <v>537</v>
      </c>
      <c r="K4" s="44" t="n">
        <v>293</v>
      </c>
      <c r="M4" s="44" t="inlineStr">
        <is>
          <t>In Progress</t>
        </is>
      </c>
      <c r="N4" s="44" t="n">
        <v>10</v>
      </c>
    </row>
    <row r="5">
      <c r="A5" s="43" t="inlineStr">
        <is>
          <t>Mar-2025</t>
        </is>
      </c>
      <c r="B5" s="43" t="n">
        <v>389</v>
      </c>
      <c r="C5" s="43" t="n">
        <v>189</v>
      </c>
      <c r="E5" s="43" t="inlineStr">
        <is>
          <t>WC-ASSEMBLY</t>
        </is>
      </c>
      <c r="F5" s="43" t="n">
        <v>6</v>
      </c>
      <c r="G5" s="43" t="n">
        <v>820.4</v>
      </c>
      <c r="I5" s="43" t="inlineStr">
        <is>
          <t>Kids Bicycle 20"</t>
        </is>
      </c>
      <c r="J5" s="43" t="n">
        <v>394</v>
      </c>
      <c r="K5" s="43" t="n">
        <v>195</v>
      </c>
      <c r="M5" s="43" t="inlineStr">
        <is>
          <t>Pending</t>
        </is>
      </c>
      <c r="N5" s="43" t="n">
        <v>10</v>
      </c>
    </row>
    <row r="6">
      <c r="A6" s="44" t="inlineStr">
        <is>
          <t>Apr-2025</t>
        </is>
      </c>
      <c r="B6" s="44" t="n">
        <v>373</v>
      </c>
      <c r="C6" s="44" t="n">
        <v>144</v>
      </c>
      <c r="E6" s="44" t="inlineStr">
        <is>
          <t>WC-PAINTING</t>
        </is>
      </c>
      <c r="F6" s="44" t="n">
        <v>8</v>
      </c>
      <c r="G6" s="44" t="n">
        <v>971.5</v>
      </c>
      <c r="I6" s="44" t="inlineStr">
        <is>
          <t>Hybrid Bicycle 27.5"</t>
        </is>
      </c>
      <c r="J6" s="44" t="n">
        <v>211</v>
      </c>
      <c r="K6" s="44" t="n">
        <v>124</v>
      </c>
      <c r="M6" s="44" t="inlineStr">
        <is>
          <t>Cancelled</t>
        </is>
      </c>
      <c r="N6" s="44" t="n">
        <v>9</v>
      </c>
    </row>
    <row r="7">
      <c r="E7" s="43" t="inlineStr">
        <is>
          <t>WC-FABRICATION</t>
        </is>
      </c>
      <c r="F7" s="43" t="n">
        <v>12</v>
      </c>
      <c r="G7" s="43" t="n">
        <v>1566.5</v>
      </c>
    </row>
    <row r="8">
      <c r="E8" s="44" t="inlineStr">
        <is>
          <t>WC-WELDING</t>
        </is>
      </c>
      <c r="F8" s="44" t="n">
        <v>8</v>
      </c>
      <c r="G8" s="44" t="n">
        <v>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0" customHeight="1">
      <c r="A1" s="45" t="inlineStr">
        <is>
          <t>SAP PP – Bicycle Manufacturing | Production Analytics Dashboard</t>
        </is>
      </c>
    </row>
    <row r="2" ht="20" customHeight="1">
      <c r="A2" s="2" t="inlineStr">
        <is>
          <t>Plan-to-Produce (P2P) Simulation  |  Academic Year 2024–25  |  Bicycle Manufacturing Co., Pune</t>
        </is>
      </c>
    </row>
    <row r="58">
      <c r="A58" s="46" t="inlineStr">
        <is>
          <t>Data Source: Simulated SAP PP Dataset | Academic Project 2024-25 | Bicycle Manufacturing Co. | All data is simulated for educational purposes</t>
        </is>
      </c>
    </row>
  </sheetData>
  <mergeCells count="3">
    <mergeCell ref="A58:P58"/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3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 ht="32" customHeight="1">
      <c r="B2" s="18" t="inlineStr">
        <is>
          <t>SAP PP Project – Excel Dashboard Instructions</t>
        </is>
      </c>
    </row>
    <row r="3" ht="16" customHeight="1">
      <c r="B3" s="47" t="inlineStr"/>
    </row>
    <row r="4" ht="22" customHeight="1">
      <c r="B4" s="48" t="inlineStr">
        <is>
          <t>SHEET GUIDE</t>
        </is>
      </c>
    </row>
    <row r="5" ht="16" customHeight="1">
      <c r="B5" s="47" t="inlineStr">
        <is>
          <t>1. Production Dataset  →  50 simulated SAP production orders with full details</t>
        </is>
      </c>
    </row>
    <row r="6" ht="16" customHeight="1">
      <c r="B6" s="47" t="inlineStr">
        <is>
          <t>2. KPI Summary        →  8 key KPI cards + 3 summary tables</t>
        </is>
      </c>
    </row>
    <row r="7" ht="16" customHeight="1">
      <c r="B7" s="47" t="inlineStr">
        <is>
          <t>3. Chart Data         →  Pivot/aggregated data tables that power all 5 charts</t>
        </is>
      </c>
    </row>
    <row r="8" ht="16" customHeight="1">
      <c r="B8" s="47" t="inlineStr">
        <is>
          <t>4. Dashboard          →  5 professional charts (Line, Pie, Bar, Clustered Bar)</t>
        </is>
      </c>
    </row>
    <row r="9" ht="16" customHeight="1">
      <c r="B9" s="47" t="inlineStr">
        <is>
          <t>5. Instructions       →  This sheet</t>
        </is>
      </c>
    </row>
    <row r="10" ht="16" customHeight="1">
      <c r="B10" s="47" t="inlineStr"/>
    </row>
    <row r="11" ht="22" customHeight="1">
      <c r="B11" s="48" t="inlineStr">
        <is>
          <t>HOW TO USE THE DASHBOARD</t>
        </is>
      </c>
    </row>
    <row r="12" ht="16" customHeight="1">
      <c r="B12" s="47" t="inlineStr">
        <is>
          <t>Step 1: Go to 'Production Dataset' sheet to view/filter all 50 production orders</t>
        </is>
      </c>
    </row>
    <row r="13" ht="16" customHeight="1">
      <c r="B13" s="47" t="inlineStr">
        <is>
          <t>Step 2: Use the Auto-Filter (row 3) to filter by Status, Product, Work Center, etc.</t>
        </is>
      </c>
    </row>
    <row r="14" ht="16" customHeight="1">
      <c r="B14" s="47" t="inlineStr">
        <is>
          <t>Step 3: Open 'KPI Summary' sheet to see the 8 KPI cards and summary tables</t>
        </is>
      </c>
    </row>
    <row r="15" ht="16" customHeight="1">
      <c r="B15" s="47" t="inlineStr">
        <is>
          <t>Step 4: Open 'Dashboard' sheet to view all 5 charts</t>
        </is>
      </c>
    </row>
    <row r="16" ht="16" customHeight="1">
      <c r="B16" s="47" t="inlineStr"/>
    </row>
    <row r="17" ht="22" customHeight="1">
      <c r="B17" s="48" t="inlineStr">
        <is>
          <t>CHART DESCRIPTIONS</t>
        </is>
      </c>
    </row>
    <row r="18" ht="16" customHeight="1">
      <c r="B18" s="47" t="inlineStr">
        <is>
          <t>Chart 1 (Line):     Monthly Production Trend – Planned vs Produced over 4 months</t>
        </is>
      </c>
    </row>
    <row r="19" ht="16" customHeight="1">
      <c r="B19" s="47" t="inlineStr">
        <is>
          <t>Chart 2 (Pie):      Order Status Distribution – Completed / In Progress / Pending / Cancelled</t>
        </is>
      </c>
    </row>
    <row r="20" ht="16" customHeight="1">
      <c r="B20" s="47" t="inlineStr">
        <is>
          <t>Chart 3 (Horiz Bar): Work Center Order Count – Which WC has most orders</t>
        </is>
      </c>
    </row>
    <row r="21" ht="16" customHeight="1">
      <c r="B21" s="47" t="inlineStr">
        <is>
          <t>Chart 4 (Clus Bar): Production by Product – Planned vs Produced per bicycle type</t>
        </is>
      </c>
    </row>
    <row r="22" ht="16" customHeight="1">
      <c r="B22" s="47" t="inlineStr">
        <is>
          <t>Chart 5 (Bar):      Work Center Total Hours – Capacity utilization by hours</t>
        </is>
      </c>
    </row>
    <row r="23" ht="16" customHeight="1">
      <c r="B23" s="47" t="inlineStr"/>
    </row>
    <row r="24" ht="22" customHeight="1">
      <c r="B24" s="48" t="inlineStr">
        <is>
          <t>HOW TO MAKE IT LOOK MORE PROFESSIONAL</t>
        </is>
      </c>
    </row>
    <row r="25" ht="16" customHeight="1">
      <c r="B25" s="47" t="inlineStr">
        <is>
          <t>• Select Dashboard sheet → View → Page Layout → Set to Landscape</t>
        </is>
      </c>
    </row>
    <row r="26" ht="16" customHeight="1">
      <c r="B26" s="47" t="inlineStr">
        <is>
          <t>• Click each chart → Chart Design → Change Colors → pick a monochromatic theme</t>
        </is>
      </c>
    </row>
    <row r="27" ht="16" customHeight="1">
      <c r="B27" s="47" t="inlineStr">
        <is>
          <t>• Add a slicer: Insert → Slicer → Select 'Status' or 'Product Name' column</t>
        </is>
      </c>
    </row>
    <row r="28" ht="16" customHeight="1">
      <c r="B28" s="47" t="inlineStr">
        <is>
          <t>• Press Ctrl+Shift+End to check print area boundaries</t>
        </is>
      </c>
    </row>
    <row r="29" ht="16" customHeight="1">
      <c r="B29" s="47" t="inlineStr">
        <is>
          <t>• File → Print → Set to 'Fit All Columns on One Page'</t>
        </is>
      </c>
    </row>
    <row r="30" ht="16" customHeight="1">
      <c r="B30" s="47" t="inlineStr"/>
    </row>
    <row r="31" ht="22" customHeight="1">
      <c r="B31" s="48" t="inlineStr">
        <is>
          <t>PROJECT FILES</t>
        </is>
      </c>
    </row>
    <row r="32" ht="16" customHeight="1">
      <c r="B32" s="47" t="inlineStr">
        <is>
          <t>• Project_Report.docx  – Full academic report with all SAP PP tables</t>
        </is>
      </c>
    </row>
    <row r="33" ht="16" customHeight="1">
      <c r="B33" s="47" t="inlineStr">
        <is>
          <t>• Dataset_Dashboard.xlsx – This file: dataset + KPIs + 5 charts</t>
        </is>
      </c>
    </row>
    <row r="34" ht="16" customHeight="1">
      <c r="B34" s="47" t="inlineStr">
        <is>
          <t>• README.md            – GitHub repository documentation</t>
        </is>
      </c>
    </row>
    <row r="35" ht="16" customHeight="1">
      <c r="B35" s="47" t="inlineStr"/>
    </row>
    <row r="36" ht="18" customHeight="1">
      <c r="B36" s="49" t="inlineStr">
        <is>
          <t>NOTE: All data is simulated for academic purposes. No real SAP system was used.</t>
        </is>
      </c>
    </row>
  </sheetData>
  <mergeCells count="35">
    <mergeCell ref="B35:L35"/>
    <mergeCell ref="B4:L4"/>
    <mergeCell ref="B26:L26"/>
    <mergeCell ref="B16:L16"/>
    <mergeCell ref="B7:L7"/>
    <mergeCell ref="B25:L25"/>
    <mergeCell ref="B3:L3"/>
    <mergeCell ref="B22:L22"/>
    <mergeCell ref="B31:L31"/>
    <mergeCell ref="B18:L18"/>
    <mergeCell ref="B27:L27"/>
    <mergeCell ref="B12:L12"/>
    <mergeCell ref="B21:L21"/>
    <mergeCell ref="B11:L11"/>
    <mergeCell ref="B2:L2"/>
    <mergeCell ref="B14:L14"/>
    <mergeCell ref="B17:L17"/>
    <mergeCell ref="B23:L23"/>
    <mergeCell ref="B8:L8"/>
    <mergeCell ref="B13:L13"/>
    <mergeCell ref="B29:L29"/>
    <mergeCell ref="B19:L19"/>
    <mergeCell ref="B34:L34"/>
    <mergeCell ref="B10:L10"/>
    <mergeCell ref="B28:L28"/>
    <mergeCell ref="B9:L9"/>
    <mergeCell ref="B6:L6"/>
    <mergeCell ref="B30:L30"/>
    <mergeCell ref="B15:L15"/>
    <mergeCell ref="B33:L33"/>
    <mergeCell ref="B24:L24"/>
    <mergeCell ref="B5:L5"/>
    <mergeCell ref="B20:L20"/>
    <mergeCell ref="B36:L36"/>
    <mergeCell ref="B32:L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2026-04-18T15:34:36Z</dcterms:created>
  <dcterms:modified xmlns:dcterms="http://purl.org/dc/terms/" xmlns:xsi="http://www.w3.org/2001/XMLSchema-instance" xsi:type="dcterms:W3CDTF">2026-04-18T15:34:36Z</dcterms:modified>
</cp:coreProperties>
</file>